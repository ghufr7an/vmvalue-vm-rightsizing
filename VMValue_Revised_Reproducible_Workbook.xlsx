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tart Here" sheetId="1" state="visible" r:id="rId3"/>
    <sheet name="Summary" sheetId="2" state="visible" r:id="rId4"/>
    <sheet name="Assumptions" sheetId="3" state="visible" r:id="rId5"/>
    <sheet name="VM Inventory" sheetId="4" state="visible" r:id="rId6"/>
    <sheet name="Research Log" sheetId="5" state="visible" r:id="rId7"/>
  </sheets>
  <definedNames>
    <definedName function="false" hidden="true" localSheetId="4" name="_xlnm._FilterDatabase" vbProcedure="false">'Research Log'!$A$1:$J$6</definedName>
    <definedName function="false" hidden="true" localSheetId="3" name="_xlnm._FilterDatabase" vbProcedure="false">'VM Inventory'!$A$1:$AE$13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<sst xmlns="http://schemas.openxmlformats.org/spreadsheetml/2006/main" count="252" uniqueCount="173">
  <si>
    <t xml:space="preserve">VMValue | Research Starter Workbook</t>
  </si>
  <si>
    <t xml:space="preserve">Purpose</t>
  </si>
  <si>
    <t xml:space="preserve">This workbook is a reproducible teaching prototype for a proposed explainable, risk-aware VM rightsizing review process. Every VM metric in the inventory is synthetic. Outputs are modeled cost proxies, not measured savings, and statuses are not production resize instructions.</t>
  </si>
  <si>
    <t xml:space="preserve">What to do first</t>
  </si>
  <si>
    <t xml:space="preserve">1. Open Assumptions and replace the illustrative cost rates with values appropriate to a clearly defined scenario.</t>
  </si>
  <si>
    <t xml:space="preserve">2. Open VM Inventory and inspect the sample rows. Every row is hypothetical; do not present it as real telemetry.</t>
  </si>
  <si>
    <t xml:space="preserve">3. Change the editable inputs (blue cells) to test how recommendations and estimated costs change.</t>
  </si>
  <si>
    <t xml:space="preserve">4. Treat every right-sizing suggestion as a candidate for review, not an instruction to change production systems.</t>
  </si>
  <si>
    <t xml:space="preserve">5. Use the workbook to learn the problem. The paper's research contribution must be defined after a literature audit.</t>
  </si>
  <si>
    <t xml:space="preserve">Research integrity</t>
  </si>
  <si>
    <t xml:space="preserve">All example VM names, utilization figures, cost rates, and calculated savings are synthetic illustrations. They are included to demonstrate the analysis workflow, not as empirical results or evidence of novelty.</t>
  </si>
  <si>
    <t xml:space="preserve">VMValue | Scenario Summary</t>
  </si>
  <si>
    <t xml:space="preserve">Calculated value</t>
  </si>
  <si>
    <t xml:space="preserve">Interpretation</t>
  </si>
  <si>
    <t xml:space="preserve">Current monthly allocation-cost proxy</t>
  </si>
  <si>
    <t xml:space="preserve">Synthetic scenario; not an invoice or vendor quote.</t>
  </si>
  <si>
    <t xml:space="preserve">Candidate monthly allocation-cost proxy</t>
  </si>
  <si>
    <t xml:space="preserve">Candidate sizing before safety gates.</t>
  </si>
  <si>
    <t xml:space="preserve">Gross modeled difference / month</t>
  </si>
  <si>
    <t xml:space="preserve">Includes held VMs and a negative row; not realizable savings.</t>
  </si>
  <si>
    <t xml:space="preserve">Annualized gross modeled difference</t>
  </si>
  <si>
    <t xml:space="preserve">Simple arithmetic only; not a forecast.</t>
  </si>
  <si>
    <t xml:space="preserve">Positive gross opportunities / month</t>
  </si>
  <si>
    <t xml:space="preserve">All rows, including held candidates.</t>
  </si>
  <si>
    <t xml:space="preserve">Risk-adjusted priority proxy / month</t>
  </si>
  <si>
    <t xml:space="preserve">Heuristic score, not an expected-value estimate.</t>
  </si>
  <si>
    <t xml:space="preserve">Review-candidate gross difference / month</t>
  </si>
  <si>
    <t xml:space="preserve">Rows that pass the illustrative hard gates; still require human review.</t>
  </si>
  <si>
    <t xml:space="preserve">Count: review candidates</t>
  </si>
  <si>
    <t xml:space="preserve">Not approval to resize.</t>
  </si>
  <si>
    <t xml:space="preserve">Count: hold / expert review</t>
  </si>
  <si>
    <t xml:space="preserve">Hard-gated due to criticality, telemetry, pressure, demand, or context.</t>
  </si>
  <si>
    <t xml:space="preserve">Important caveat</t>
  </si>
  <si>
    <t xml:space="preserve">ALL INVENTORY VALUES ARE SYNTHETIC</t>
  </si>
  <si>
    <t xml:space="preserve">Do not describe these outputs as measured savings or production findings.</t>
  </si>
  <si>
    <t xml:space="preserve">Editable Scenario Assumptions</t>
  </si>
  <si>
    <t xml:space="preserve">Parameter</t>
  </si>
  <si>
    <t xml:space="preserve">Illustrative value</t>
  </si>
  <si>
    <t xml:space="preserve">Unit / interpretation</t>
  </si>
  <si>
    <t xml:space="preserve">Notes</t>
  </si>
  <si>
    <t xml:space="preserve">Monthly charge per allocated vCPU</t>
  </si>
  <si>
    <t xml:space="preserve">currency units / vCPU / month</t>
  </si>
  <si>
    <t xml:space="preserve">Example chargeback proxy; replace with your scenario's rate.</t>
  </si>
  <si>
    <t xml:space="preserve">Monthly charge per allocated GB RAM</t>
  </si>
  <si>
    <t xml:space="preserve">currency units / GB / month</t>
  </si>
  <si>
    <t xml:space="preserve">Example chargeback proxy; not a universal market price.</t>
  </si>
  <si>
    <t xml:space="preserve">Target CPU utilization after sizing</t>
  </si>
  <si>
    <t xml:space="preserve">fraction of provisioned vCPU</t>
  </si>
  <si>
    <t xml:space="preserve">Planning assumption; tune and justify for the workload.</t>
  </si>
  <si>
    <t xml:space="preserve">Target memory working-set utilization</t>
  </si>
  <si>
    <t xml:space="preserve">fraction of allocated RAM</t>
  </si>
  <si>
    <t xml:space="preserve">Planning assumption; never use without workload-specific validation.</t>
  </si>
  <si>
    <t xml:space="preserve">Required host/cluster reserve</t>
  </si>
  <si>
    <t xml:space="preserve">fraction of capacity reserved</t>
  </si>
  <si>
    <t xml:space="preserve">A simple reserve assumption for scenario analysis, not a HA guarantee.</t>
  </si>
  <si>
    <t xml:space="preserve">Representative telemetry window</t>
  </si>
  <si>
    <t xml:space="preserve">days</t>
  </si>
  <si>
    <t xml:space="preserve">Illustrative scenario setting used for the worked example; not real telemetry.</t>
  </si>
  <si>
    <t xml:space="preserve">VM ID</t>
  </si>
  <si>
    <t xml:space="preserve">Workload class</t>
  </si>
  <si>
    <t xml:space="preserve">Critical? (Yes/No)</t>
  </si>
  <si>
    <t xml:space="preserve">Allocated vCPU</t>
  </si>
  <si>
    <t xml:space="preserve">P95 CPU util (%)</t>
  </si>
  <si>
    <t xml:space="preserve">Allocated RAM (GB)</t>
  </si>
  <si>
    <t xml:space="preserve">P95 active RAM (GB)</t>
  </si>
  <si>
    <t xml:space="preserve">Telemetry complete? (Yes/No)</t>
  </si>
  <si>
    <t xml:space="preserve">Telemetry days</t>
  </si>
  <si>
    <t xml:space="preserve">Daily P95 CPU CV (synthetic)</t>
  </si>
  <si>
    <t xml:space="preserve">CPU Ready % (synthetic)</t>
  </si>
  <si>
    <t xml:space="preserve">Co-Stop % (synthetic)</t>
  </si>
  <si>
    <t xml:space="preserve">Ballooning? (Yes/No)</t>
  </si>
  <si>
    <t xml:space="preserve">Swap? (Yes/No)</t>
  </si>
  <si>
    <t xml:space="preserve">Owner confirmed? (Yes/No)</t>
  </si>
  <si>
    <t xml:space="preserve">Vendor constraints verified? (Yes/No)</t>
  </si>
  <si>
    <t xml:space="preserve">Estimated CPU demand (vCPU)</t>
  </si>
  <si>
    <t xml:space="preserve">Candidate vCPU</t>
  </si>
  <si>
    <t xml:space="preserve">Candidate RAM (GB)</t>
  </si>
  <si>
    <t xml:space="preserve">Current monthly cost proxy</t>
  </si>
  <si>
    <t xml:space="preserve">Candidate monthly cost proxy</t>
  </si>
  <si>
    <t xml:space="preserve">Gross difference / month</t>
  </si>
  <si>
    <t xml:space="preserve">E1 Coverage</t>
  </si>
  <si>
    <t xml:space="preserve">E2 Stability</t>
  </si>
  <si>
    <t xml:space="preserve">E3 Pressure</t>
  </si>
  <si>
    <t xml:space="preserve">E4 Context</t>
  </si>
  <si>
    <t xml:space="preserve">Evidence score E</t>
  </si>
  <si>
    <t xml:space="preserve">Confidence label</t>
  </si>
  <si>
    <t xml:space="preserve">Decision status</t>
  </si>
  <si>
    <t xml:space="preserve">VM-01</t>
  </si>
  <si>
    <t xml:space="preserve">Web server</t>
  </si>
  <si>
    <t xml:space="preserve">No</t>
  </si>
  <si>
    <t xml:space="preserve">Yes</t>
  </si>
  <si>
    <t xml:space="preserve">Hypothetical low-utilization example</t>
  </si>
  <si>
    <t xml:space="preserve">VM-02</t>
  </si>
  <si>
    <t xml:space="preserve">Database</t>
  </si>
  <si>
    <t xml:space="preserve">Critical workload; hard hold pending owner approval</t>
  </si>
  <si>
    <t xml:space="preserve">VM-03</t>
  </si>
  <si>
    <t xml:space="preserve">Monitoring</t>
  </si>
  <si>
    <t xml:space="preserve">Hypothetical</t>
  </si>
  <si>
    <t xml:space="preserve">VM-04</t>
  </si>
  <si>
    <t xml:space="preserve">Application server</t>
  </si>
  <si>
    <t xml:space="preserve">VM-05</t>
  </si>
  <si>
    <t xml:space="preserve">Build runner</t>
  </si>
  <si>
    <t xml:space="preserve">High P95 CPU; hold for workload-specific review; no modeled savings</t>
  </si>
  <si>
    <t xml:space="preserve">VM-06</t>
  </si>
  <si>
    <t xml:space="preserve">File service</t>
  </si>
  <si>
    <t xml:space="preserve">Critical workload; hard hold</t>
  </si>
  <si>
    <t xml:space="preserve">VM-07</t>
  </si>
  <si>
    <t xml:space="preserve">Internal utility</t>
  </si>
  <si>
    <t xml:space="preserve">VM-08</t>
  </si>
  <si>
    <t xml:space="preserve">API service</t>
  </si>
  <si>
    <t xml:space="preserve">Incomplete telemetry; hard hold</t>
  </si>
  <si>
    <t xml:space="preserve">VM-09</t>
  </si>
  <si>
    <t xml:space="preserve">Analytics worker</t>
  </si>
  <si>
    <t xml:space="preserve">Illustrative variability; review peak and batch windows</t>
  </si>
  <si>
    <t xml:space="preserve">VM-10</t>
  </si>
  <si>
    <t xml:space="preserve">Legacy service</t>
  </si>
  <si>
    <t xml:space="preserve">VM-11</t>
  </si>
  <si>
    <t xml:space="preserve">Dev/test</t>
  </si>
  <si>
    <t xml:space="preserve">Illustrative worked example; synthetic 30-day window</t>
  </si>
  <si>
    <t xml:space="preserve">VM-12</t>
  </si>
  <si>
    <t xml:space="preserve">Network appliance</t>
  </si>
  <si>
    <t xml:space="preserve">Critical workload and vendor constraints unverified; hard hold</t>
  </si>
  <si>
    <t xml:space="preserve">Paper / source</t>
  </si>
  <si>
    <t xml:space="preserve">Year</t>
  </si>
  <si>
    <t xml:space="preserve">Problem addressed</t>
  </si>
  <si>
    <t xml:space="preserve">Method</t>
  </si>
  <si>
    <t xml:space="preserve">Dataset / environment</t>
  </si>
  <si>
    <t xml:space="preserve">Metrics</t>
  </si>
  <si>
    <t xml:space="preserve">Limitations stated by authors</t>
  </si>
  <si>
    <t xml:space="preserve">Potential gap relevant to VMValue</t>
  </si>
  <si>
    <t xml:space="preserve">Link / DOI</t>
  </si>
  <si>
    <t xml:space="preserve">Read status</t>
  </si>
  <si>
    <t xml:space="preserve">Virtualization in the Private Cloud: State of the Practice</t>
  </si>
  <si>
    <t xml:space="preserve">Characterizes VM resource use and provisioning in enterprise private clouds</t>
  </si>
  <si>
    <t xml:space="preserve">Large-scale workload characterization</t>
  </si>
  <si>
    <t xml:space="preserve">90K VMs / 8K physical servers; 19 days</t>
  </si>
  <si>
    <t xml:space="preserve">CPU/memory provisioning, resource use, migration patterns</t>
  </si>
  <si>
    <t xml:space="preserve">Extract from full paper before citing any detailed limitation</t>
  </si>
  <si>
    <t xml:space="preserve">Use as background evidence for overprovisioning and real workload behavior</t>
  </si>
  <si>
    <t xml:space="preserve">https://research.ibm.com/publications/virtualization-in-the-private-cloud-state-of-the-practice</t>
  </si>
  <si>
    <t xml:space="preserve">Metadata/abstract checked; full-text review still needed</t>
  </si>
  <si>
    <t xml:space="preserve">VM consolidation steps in cloud computing: A perspective review</t>
  </si>
  <si>
    <t xml:space="preserve">Reviews virtual-machine consolidation</t>
  </si>
  <si>
    <t xml:space="preserve">Perspective review across PM detection, VM selection, placement</t>
  </si>
  <si>
    <t xml:space="preserve">Literature from 2015–2024</t>
  </si>
  <si>
    <t xml:space="preserve">Compare consolidation phases and evaluation metrics</t>
  </si>
  <si>
    <t xml:space="preserve">Read full text / abstract and record exact limitations</t>
  </si>
  <si>
    <t xml:space="preserve">Avoid duplicating generic consolidation review; identify specific evaluation inconsistency</t>
  </si>
  <si>
    <t xml:space="preserve">https://doi.org/10.1016/j.simpat.2024.103034</t>
  </si>
  <si>
    <t xml:space="preserve">A systematic literature review on contemporary and future trends in virtual machine scheduling techniques in cloud and multi-access computing</t>
  </si>
  <si>
    <t xml:space="preserve">Surveys VM scheduling techniques</t>
  </si>
  <si>
    <t xml:space="preserve">Systematic literature review</t>
  </si>
  <si>
    <t xml:space="preserve">Published literature</t>
  </si>
  <si>
    <t xml:space="preserve">Cost, energy, utilization, load balancing, scheduling methods</t>
  </si>
  <si>
    <t xml:space="preserve">Extract from full text</t>
  </si>
  <si>
    <t xml:space="preserve">Map existing methods and their objectives before defining the gap</t>
  </si>
  <si>
    <t xml:space="preserve">https://doi.org/10.3389/fcomp.2024.1288552</t>
  </si>
  <si>
    <t xml:space="preserve">Rightsizing virtual machines on ESXi 8.0: vCPU, memory, and CPU topology guidance</t>
  </si>
  <si>
    <t xml:space="preserve">Operational guidance for VM sizing</t>
  </si>
  <si>
    <t xml:space="preserve">Vendor guidance / counters and review procedure</t>
  </si>
  <si>
    <t xml:space="preserve">VMware ESXi 8.0</t>
  </si>
  <si>
    <t xml:space="preserve">CPU utilization, CPU Ready, Co-Stop, active/consumed memory, balloon/swap</t>
  </si>
  <si>
    <t xml:space="preserve">Vendor guidance; not an independent comparative study</t>
  </si>
  <si>
    <t xml:space="preserve">Translate operational counters into transparent, evidence-based review rules</t>
  </si>
  <si>
    <t xml:space="preserve">https://knowledge.broadcom.com/external/article/438023/rightsizing-virtual-machines-on-esxi-80.html</t>
  </si>
  <si>
    <t xml:space="preserve">Confidence interval-based overload avoidance algorithm for virtual machine placement</t>
  </si>
  <si>
    <t xml:space="preserve">Avoids overload during VM placement</t>
  </si>
  <si>
    <t xml:space="preserve">Confidence-interval-based algorithm</t>
  </si>
  <si>
    <t xml:space="preserve">Read full paper for environment</t>
  </si>
  <si>
    <t xml:space="preserve">Overload and placement outcomes</t>
  </si>
  <si>
    <t xml:space="preserve">Extract from full paper</t>
  </si>
  <si>
    <t xml:space="preserve">Compare uncertainty-aware placement concepts to risk-aware rightsizing</t>
  </si>
  <si>
    <t xml:space="preserve">https://doi.org/10.1002/spe.3127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</si>
</sst>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%"/>
    <numFmt numFmtId="166" formatCode="0.00"/>
    <numFmt numFmtId="167" formatCode="0.0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ptos"/>
      <family val="0"/>
      <charset val="1"/>
    </font>
    <font>
      <sz val="10"/>
      <color rgb="FF263238"/>
      <name val="Aptos"/>
      <family val="0"/>
      <charset val="1"/>
    </font>
    <font>
      <b val="true"/>
      <sz val="11"/>
      <color rgb="FFFFFF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7324D"/>
        <bgColor rgb="FF263238"/>
      </patternFill>
    </fill>
    <fill>
      <patternFill patternType="solid">
        <fgColor rgb="FFF5F7FA"/>
        <bgColor rgb="FFFFFFFF"/>
      </patternFill>
    </fill>
    <fill>
      <patternFill patternType="solid">
        <fgColor rgb="FFD9EAF7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7324D"/>
          <bgColor rgb="FF000000"/>
        </patternFill>
      </fill>
    </dxf>
    <dxf>
      <fill>
        <patternFill patternType="solid">
          <fgColor rgb="FFF5F7F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263238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5F7FA"/>
      <rgbColor rgb="FFD9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24D"/>
      <rgbColor rgb="FF339966"/>
      <rgbColor rgb="FF003300"/>
      <rgbColor rgb="FF333300"/>
      <rgbColor rgb="FF993300"/>
      <rgbColor rgb="FF993366"/>
      <rgbColor rgb="FF333399"/>
      <rgbColor rgb="FF26323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VMInventory" displayName="VMInventory" ref="A1:P13" headerRowCount="1" totalsRowCount="0" totalsRowShown="0">
  <autoFilter ref="A1:P13"/>
  <tableColumns count="16">
    <tableColumn id="1" name="VM ID"/>
    <tableColumn id="2" name="Workload class"/>
    <tableColumn id="3" name="Critical? (Yes/No)"/>
    <tableColumn id="4" name="Allocated vCPU"/>
    <tableColumn id="5" name="P95 CPU util (%)"/>
    <tableColumn id="6" name="Allocated RAM (GB)"/>
    <tableColumn id="7" name="P95 active RAM (GB)"/>
    <tableColumn id="8" name="Telemetry complete? (Yes/No)"/>
    <tableColumn id="9" name="Telemetry days"/>
    <tableColumn id="10" name="Daily P95 CPU CV (synthetic)"/>
    <tableColumn id="11" name="CPU Ready % (synthetic)"/>
    <tableColumn id="12" name="Co-Stop % (synthetic)"/>
    <tableColumn id="13" name="Ballooning? (Yes/No)"/>
    <tableColumn id="14" name="Swap? (Yes/No)"/>
    <tableColumn id="15" name="Owner confirmed? (Yes/No)"/>
    <tableColumn id="16" name="Vendor constraints verified? (Yes/No)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  <col collapsed="false" customWidth="true" hidden="false" outlineLevel="0" max="6" min="2" style="0" width="18"/>
  </cols>
  <sheetData>
    <row r="1" customFormat="false" ht="37.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27.75" hidden="false" customHeight="true" outlineLevel="0" collapsed="false">
      <c r="A2" s="2"/>
      <c r="B2" s="2"/>
      <c r="C2" s="2"/>
      <c r="D2" s="2"/>
      <c r="E2" s="2"/>
      <c r="F2" s="2"/>
    </row>
    <row r="3" customFormat="false" ht="27.75" hidden="false" customHeight="true" outlineLevel="0" collapsed="false">
      <c r="A3" s="3" t="s">
        <v>1</v>
      </c>
      <c r="B3" s="3"/>
      <c r="C3" s="3"/>
      <c r="D3" s="3"/>
      <c r="E3" s="3"/>
      <c r="F3" s="3"/>
    </row>
    <row r="4" customFormat="false" ht="33.75" hidden="false" customHeight="true" outlineLevel="0" collapsed="false">
      <c r="A4" s="4" t="s">
        <v>2</v>
      </c>
      <c r="B4" s="4"/>
      <c r="C4" s="4"/>
      <c r="D4" s="4"/>
      <c r="E4" s="4"/>
      <c r="F4" s="4"/>
    </row>
    <row r="5" customFormat="false" ht="27.75" hidden="false" customHeight="true" outlineLevel="0" collapsed="false">
      <c r="A5" s="4"/>
      <c r="B5" s="4"/>
      <c r="C5" s="4"/>
      <c r="D5" s="4"/>
      <c r="E5" s="4"/>
      <c r="F5" s="4"/>
    </row>
    <row r="6" customFormat="false" ht="27.75" hidden="false" customHeight="true" outlineLevel="0" collapsed="false">
      <c r="A6" s="2"/>
      <c r="B6" s="2"/>
      <c r="C6" s="2"/>
      <c r="D6" s="2"/>
      <c r="E6" s="2"/>
      <c r="F6" s="2"/>
    </row>
    <row r="7" customFormat="false" ht="27.75" hidden="false" customHeight="true" outlineLevel="0" collapsed="false">
      <c r="A7" s="3" t="s">
        <v>3</v>
      </c>
      <c r="B7" s="3"/>
      <c r="C7" s="3"/>
      <c r="D7" s="3"/>
      <c r="E7" s="3"/>
      <c r="F7" s="3"/>
    </row>
    <row r="8" customFormat="false" ht="27.75" hidden="false" customHeight="true" outlineLevel="0" collapsed="false">
      <c r="A8" s="4" t="s">
        <v>4</v>
      </c>
      <c r="B8" s="4"/>
      <c r="C8" s="4"/>
      <c r="D8" s="4"/>
      <c r="E8" s="4"/>
      <c r="F8" s="4"/>
    </row>
    <row r="9" customFormat="false" ht="27.75" hidden="false" customHeight="true" outlineLevel="0" collapsed="false">
      <c r="A9" s="5" t="s">
        <v>5</v>
      </c>
      <c r="B9" s="5"/>
      <c r="C9" s="5"/>
      <c r="D9" s="5"/>
      <c r="E9" s="5"/>
      <c r="F9" s="5"/>
    </row>
    <row r="10" customFormat="false" ht="27.75" hidden="false" customHeight="true" outlineLevel="0" collapsed="false">
      <c r="A10" s="4" t="s">
        <v>6</v>
      </c>
      <c r="B10" s="4"/>
      <c r="C10" s="4"/>
      <c r="D10" s="4"/>
      <c r="E10" s="4"/>
      <c r="F10" s="4"/>
    </row>
    <row r="11" customFormat="false" ht="27.75" hidden="false" customHeight="true" outlineLevel="0" collapsed="false">
      <c r="A11" s="5" t="s">
        <v>7</v>
      </c>
      <c r="B11" s="5"/>
      <c r="C11" s="5"/>
      <c r="D11" s="5"/>
      <c r="E11" s="5"/>
      <c r="F11" s="5"/>
    </row>
    <row r="12" customFormat="false" ht="27.75" hidden="false" customHeight="true" outlineLevel="0" collapsed="false">
      <c r="A12" s="4" t="s">
        <v>8</v>
      </c>
      <c r="B12" s="4"/>
      <c r="C12" s="4"/>
      <c r="D12" s="4"/>
      <c r="E12" s="4"/>
      <c r="F12" s="4"/>
    </row>
    <row r="13" customFormat="false" ht="27.75" hidden="false" customHeight="true" outlineLevel="0" collapsed="false">
      <c r="A13" s="3"/>
      <c r="B13" s="3"/>
      <c r="C13" s="3"/>
      <c r="D13" s="3"/>
      <c r="E13" s="3"/>
      <c r="F13" s="3"/>
    </row>
    <row r="14" customFormat="false" ht="27.75" hidden="false" customHeight="true" outlineLevel="0" collapsed="false">
      <c r="A14" s="2"/>
      <c r="B14" s="2"/>
      <c r="C14" s="2"/>
      <c r="D14" s="2"/>
      <c r="E14" s="2"/>
      <c r="F14" s="2"/>
    </row>
    <row r="15" customFormat="false" ht="27.75" hidden="false" customHeight="true" outlineLevel="0" collapsed="false">
      <c r="A15" s="3" t="s">
        <v>9</v>
      </c>
      <c r="B15" s="3"/>
      <c r="C15" s="3"/>
      <c r="D15" s="3"/>
      <c r="E15" s="3"/>
      <c r="F15" s="3"/>
    </row>
    <row r="16" customFormat="false" ht="33.75" hidden="false" customHeight="true" outlineLevel="0" collapsed="false">
      <c r="A16" s="4" t="s">
        <v>10</v>
      </c>
      <c r="B16" s="4"/>
      <c r="C16" s="4"/>
      <c r="D16" s="4"/>
      <c r="E16" s="4"/>
      <c r="F16" s="4"/>
    </row>
    <row r="17" customFormat="false" ht="27.75" hidden="false" customHeight="true" outlineLevel="0" collapsed="false">
      <c r="A17" s="4"/>
      <c r="B17" s="4"/>
      <c r="C17" s="4"/>
      <c r="D17" s="4"/>
      <c r="E17" s="4"/>
      <c r="F17" s="4"/>
    </row>
  </sheetData>
  <mergeCells count="8">
    <mergeCell ref="A1:F1"/>
    <mergeCell ref="A4:F5"/>
    <mergeCell ref="A8:F8"/>
    <mergeCell ref="A9:F9"/>
    <mergeCell ref="A10:F10"/>
    <mergeCell ref="A11:F11"/>
    <mergeCell ref="A12:F12"/>
    <mergeCell ref="A16:F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5"/>
    <col collapsed="false" customWidth="true" hidden="false" outlineLevel="0" max="3" min="3" style="0" width="70"/>
    <col collapsed="false" customWidth="true" hidden="false" outlineLevel="0" max="4" min="4" style="0" width="20"/>
  </cols>
  <sheetData>
    <row r="1" customFormat="false" ht="37.5" hidden="false" customHeight="true" outlineLevel="0" collapsed="false">
      <c r="A1" s="6" t="s">
        <v>11</v>
      </c>
      <c r="B1" s="6" t="s">
        <v>12</v>
      </c>
      <c r="C1" s="6" t="s">
        <v>13</v>
      </c>
      <c r="D1" s="6"/>
    </row>
    <row r="2" customFormat="false" ht="31.5" hidden="false" customHeight="true" outlineLevel="0" collapsed="false">
      <c r="A2" s="7" t="s">
        <v>14</v>
      </c>
      <c r="B2" s="7" t="n">
        <f aca="false">SUM('VM Inventory'!T2:T13)</f>
        <v>2280</v>
      </c>
      <c r="C2" s="7" t="s">
        <v>15</v>
      </c>
    </row>
    <row r="3" customFormat="false" ht="31.5" hidden="false" customHeight="true" outlineLevel="0" collapsed="false">
      <c r="A3" s="7" t="s">
        <v>16</v>
      </c>
      <c r="B3" s="7" t="n">
        <f aca="false">SUM('VM Inventory'!U2:U13)</f>
        <v>1608</v>
      </c>
      <c r="C3" s="7" t="s">
        <v>17</v>
      </c>
    </row>
    <row r="4" customFormat="false" ht="31.5" hidden="false" customHeight="true" outlineLevel="0" collapsed="false">
      <c r="A4" s="7" t="s">
        <v>18</v>
      </c>
      <c r="B4" s="7" t="n">
        <f aca="false">B2-B3</f>
        <v>672</v>
      </c>
      <c r="C4" s="7" t="s">
        <v>19</v>
      </c>
    </row>
    <row r="5" customFormat="false" ht="31.5" hidden="false" customHeight="true" outlineLevel="0" collapsed="false">
      <c r="A5" s="7" t="s">
        <v>20</v>
      </c>
      <c r="B5" s="7" t="n">
        <f aca="false">B4*12</f>
        <v>8064</v>
      </c>
      <c r="C5" s="7" t="s">
        <v>21</v>
      </c>
    </row>
    <row r="6" customFormat="false" ht="31.5" hidden="false" customHeight="true" outlineLevel="0" collapsed="false">
      <c r="A6" s="7" t="s">
        <v>22</v>
      </c>
      <c r="B6" s="7" t="n">
        <f aca="false">SUMIF('VM Inventory'!V2:V13,"&gt;0",'VM Inventory'!V2:V13)</f>
        <v>678</v>
      </c>
      <c r="C6" s="7" t="s">
        <v>23</v>
      </c>
    </row>
    <row r="7" customFormat="false" ht="31.5" hidden="false" customHeight="true" outlineLevel="0" collapsed="false">
      <c r="A7" s="7" t="s">
        <v>24</v>
      </c>
      <c r="B7" s="7" t="n">
        <f aca="false">SUM('VM Inventory'!AC2:AC13)</f>
        <v>616.8</v>
      </c>
      <c r="C7" s="7" t="s">
        <v>25</v>
      </c>
    </row>
    <row r="8" customFormat="false" ht="31.5" hidden="false" customHeight="true" outlineLevel="0" collapsed="false">
      <c r="A8" s="7" t="s">
        <v>26</v>
      </c>
      <c r="B8" s="7" t="n">
        <f aca="false">SUMIF('VM Inventory'!AD2:AD13,"REVIEW CANDIDATE",'VM Inventory'!V2:V13)</f>
        <v>525</v>
      </c>
      <c r="C8" s="7" t="s">
        <v>27</v>
      </c>
    </row>
    <row r="9" customFormat="false" ht="31.5" hidden="false" customHeight="true" outlineLevel="0" collapsed="false">
      <c r="A9" s="7" t="s">
        <v>28</v>
      </c>
      <c r="B9" s="7" t="n">
        <f aca="false">COUNTIF('VM Inventory'!AD2:AD13,"REVIEW CANDIDATE")</f>
        <v>6</v>
      </c>
      <c r="C9" s="7" t="s">
        <v>29</v>
      </c>
    </row>
    <row r="10" customFormat="false" ht="31.5" hidden="false" customHeight="true" outlineLevel="0" collapsed="false">
      <c r="A10" s="7" t="s">
        <v>30</v>
      </c>
      <c r="B10" s="7" t="n">
        <f aca="false">COUNTIF('VM Inventory'!AD2:AD13,"HOLD / EXPERT REVIEW")</f>
        <v>6</v>
      </c>
      <c r="C10" s="7" t="s">
        <v>31</v>
      </c>
    </row>
    <row r="11" customFormat="false" ht="31.5" hidden="false" customHeight="true" outlineLevel="0" collapsed="false">
      <c r="A11" s="7" t="s">
        <v>32</v>
      </c>
      <c r="B11" s="7" t="s">
        <v>33</v>
      </c>
      <c r="C11" s="7" t="s">
        <v>34</v>
      </c>
    </row>
    <row r="12" customFormat="false" ht="15" hidden="false" customHeight="false" outlineLevel="0" collapsed="false">
      <c r="A12" s="8"/>
      <c r="B12" s="8"/>
      <c r="C12" s="8"/>
    </row>
    <row r="13" customFormat="false" ht="15" hidden="false" customHeight="false" outlineLevel="0" collapsed="false">
      <c r="A13" s="8"/>
      <c r="B13" s="8"/>
      <c r="C13" s="8"/>
    </row>
    <row r="14" customFormat="false" ht="15" hidden="false" customHeight="false" outlineLevel="0" collapsed="false">
      <c r="A14" s="8"/>
      <c r="B14" s="8"/>
      <c r="C14" s="8"/>
    </row>
  </sheetData>
  <mergeCells count="2">
    <mergeCell ref="A1:D1"/>
    <mergeCell ref="A12:C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0"/>
    <col collapsed="false" customWidth="true" hidden="false" outlineLevel="0" max="3" min="3" style="0" width="34"/>
    <col collapsed="false" customWidth="true" hidden="false" outlineLevel="0" max="4" min="4" style="0" width="62"/>
  </cols>
  <sheetData>
    <row r="1" customFormat="false" ht="37.5" hidden="false" customHeight="true" outlineLevel="0" collapsed="false">
      <c r="A1" s="1" t="s">
        <v>35</v>
      </c>
      <c r="B1" s="1"/>
      <c r="C1" s="1"/>
      <c r="D1" s="1"/>
    </row>
    <row r="2" customFormat="false" ht="15" hidden="false" customHeight="false" outlineLevel="0" collapsed="false">
      <c r="A2" s="2" t="s">
        <v>36</v>
      </c>
      <c r="B2" s="2" t="s">
        <v>37</v>
      </c>
      <c r="C2" s="2" t="s">
        <v>38</v>
      </c>
      <c r="D2" s="2" t="s">
        <v>39</v>
      </c>
    </row>
    <row r="3" customFormat="false" ht="15" hidden="false" customHeight="false" outlineLevel="0" collapsed="false">
      <c r="A3" s="3" t="s">
        <v>40</v>
      </c>
      <c r="B3" s="9" t="n">
        <v>12</v>
      </c>
      <c r="C3" s="3" t="s">
        <v>41</v>
      </c>
      <c r="D3" s="3" t="s">
        <v>42</v>
      </c>
    </row>
    <row r="4" customFormat="false" ht="15" hidden="false" customHeight="false" outlineLevel="0" collapsed="false">
      <c r="A4" s="2" t="s">
        <v>43</v>
      </c>
      <c r="B4" s="2" t="n">
        <v>3</v>
      </c>
      <c r="C4" s="2" t="s">
        <v>44</v>
      </c>
      <c r="D4" s="2" t="s">
        <v>45</v>
      </c>
    </row>
    <row r="5" customFormat="false" ht="15" hidden="false" customHeight="false" outlineLevel="0" collapsed="false">
      <c r="A5" s="3" t="s">
        <v>46</v>
      </c>
      <c r="B5" s="10" t="n">
        <v>0.7</v>
      </c>
      <c r="C5" s="3" t="s">
        <v>47</v>
      </c>
      <c r="D5" s="3" t="s">
        <v>48</v>
      </c>
    </row>
    <row r="6" customFormat="false" ht="23.85" hidden="false" customHeight="false" outlineLevel="0" collapsed="false">
      <c r="A6" s="2" t="s">
        <v>49</v>
      </c>
      <c r="B6" s="11" t="n">
        <v>0.8</v>
      </c>
      <c r="C6" s="2" t="s">
        <v>50</v>
      </c>
      <c r="D6" s="2" t="s">
        <v>51</v>
      </c>
    </row>
    <row r="7" customFormat="false" ht="23.85" hidden="false" customHeight="false" outlineLevel="0" collapsed="false">
      <c r="A7" s="3" t="s">
        <v>52</v>
      </c>
      <c r="B7" s="10" t="n">
        <v>0.25</v>
      </c>
      <c r="C7" s="3" t="s">
        <v>53</v>
      </c>
      <c r="D7" s="3" t="s">
        <v>54</v>
      </c>
    </row>
    <row r="8" customFormat="false" ht="23.85" hidden="false" customHeight="false" outlineLevel="0" collapsed="false">
      <c r="A8" s="2" t="s">
        <v>55</v>
      </c>
      <c r="B8" s="2" t="n">
        <v>30</v>
      </c>
      <c r="C8" s="2" t="s">
        <v>56</v>
      </c>
      <c r="D8" s="2" t="s">
        <v>57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E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15"/>
    <col collapsed="false" customWidth="true" hidden="false" outlineLevel="0" max="4" min="4" style="0" width="13"/>
    <col collapsed="false" customWidth="true" hidden="false" outlineLevel="0" max="5" min="5" style="0" width="15"/>
    <col collapsed="false" customWidth="true" hidden="false" outlineLevel="0" max="6" min="6" style="0" width="14"/>
    <col collapsed="false" customWidth="true" hidden="false" outlineLevel="0" max="8" min="7" style="0" width="17"/>
    <col collapsed="false" customWidth="true" hidden="false" outlineLevel="0" max="9" min="9" style="0" width="13"/>
    <col collapsed="false" customWidth="true" hidden="false" outlineLevel="0" max="10" min="10" style="0" width="19"/>
    <col collapsed="false" customWidth="true" hidden="false" outlineLevel="0" max="12" min="11" style="0" width="17"/>
    <col collapsed="false" customWidth="true" hidden="false" outlineLevel="0" max="13" min="13" style="0" width="15"/>
    <col collapsed="false" customWidth="true" hidden="false" outlineLevel="0" max="14" min="14" style="0" width="12"/>
    <col collapsed="false" customWidth="true" hidden="false" outlineLevel="0" max="15" min="15" style="0" width="16"/>
    <col collapsed="false" customWidth="true" hidden="false" outlineLevel="0" max="16" min="16" style="0" width="22"/>
    <col collapsed="false" customWidth="true" hidden="false" outlineLevel="0" max="17" min="17" style="0" width="19"/>
    <col collapsed="false" customWidth="true" hidden="false" outlineLevel="0" max="18" min="18" style="0" width="15"/>
    <col collapsed="false" customWidth="true" hidden="false" outlineLevel="0" max="19" min="19" style="0" width="16"/>
    <col collapsed="false" customWidth="true" hidden="false" outlineLevel="0" max="20" min="20" style="0" width="19"/>
    <col collapsed="false" customWidth="true" hidden="false" outlineLevel="0" max="21" min="21" style="0" width="20"/>
    <col collapsed="false" customWidth="true" hidden="false" outlineLevel="0" max="22" min="22" style="0" width="18"/>
    <col collapsed="false" customWidth="true" hidden="false" outlineLevel="0" max="26" min="23" style="0" width="13"/>
    <col collapsed="false" customWidth="true" hidden="false" outlineLevel="0" max="28" min="27" style="0" width="14"/>
    <col collapsed="false" customWidth="true" hidden="false" outlineLevel="0" max="29" min="29" style="0" width="23"/>
    <col collapsed="false" customWidth="true" hidden="false" outlineLevel="0" max="30" min="30" style="0" width="24"/>
    <col collapsed="false" customWidth="true" hidden="false" outlineLevel="0" max="31" min="31" style="0" width="52"/>
  </cols>
  <sheetData>
    <row r="1" customFormat="false" ht="37.5" hidden="false" customHeight="true" outlineLevel="0" collapsed="false">
      <c r="A1" s="12" t="s">
        <v>58</v>
      </c>
      <c r="B1" s="12" t="s">
        <v>59</v>
      </c>
      <c r="C1" s="12" t="s">
        <v>60</v>
      </c>
      <c r="D1" s="12" t="s">
        <v>61</v>
      </c>
      <c r="E1" s="12" t="s">
        <v>62</v>
      </c>
      <c r="F1" s="12" t="s">
        <v>63</v>
      </c>
      <c r="G1" s="12" t="s">
        <v>64</v>
      </c>
      <c r="H1" s="12" t="s">
        <v>65</v>
      </c>
      <c r="I1" s="12" t="s">
        <v>66</v>
      </c>
      <c r="J1" s="12" t="s">
        <v>67</v>
      </c>
      <c r="K1" s="12" t="s">
        <v>68</v>
      </c>
      <c r="L1" s="12" t="s">
        <v>69</v>
      </c>
      <c r="M1" s="12" t="s">
        <v>70</v>
      </c>
      <c r="N1" s="12" t="s">
        <v>71</v>
      </c>
      <c r="O1" s="12" t="s">
        <v>72</v>
      </c>
      <c r="P1" s="12" t="s">
        <v>73</v>
      </c>
      <c r="Q1" s="12" t="s">
        <v>74</v>
      </c>
      <c r="R1" s="12" t="s">
        <v>75</v>
      </c>
      <c r="S1" s="12" t="s">
        <v>76</v>
      </c>
      <c r="T1" s="12" t="s">
        <v>77</v>
      </c>
      <c r="U1" s="12" t="s">
        <v>78</v>
      </c>
      <c r="V1" s="12" t="s">
        <v>79</v>
      </c>
      <c r="W1" s="12" t="s">
        <v>80</v>
      </c>
      <c r="X1" s="12" t="s">
        <v>81</v>
      </c>
      <c r="Y1" s="12" t="s">
        <v>82</v>
      </c>
      <c r="Z1" s="12" t="s">
        <v>83</v>
      </c>
      <c r="AA1" s="12" t="s">
        <v>84</v>
      </c>
      <c r="AB1" s="12" t="s">
        <v>85</v>
      </c>
      <c r="AC1" s="12" t="s">
        <v>24</v>
      </c>
      <c r="AD1" s="12" t="s">
        <v>86</v>
      </c>
      <c r="AE1" s="12" t="s">
        <v>39</v>
      </c>
    </row>
    <row r="2" customFormat="false" ht="15" hidden="false" customHeight="false" outlineLevel="0" collapsed="false">
      <c r="A2" s="2" t="s">
        <v>87</v>
      </c>
      <c r="B2" s="2" t="s">
        <v>88</v>
      </c>
      <c r="C2" s="2" t="s">
        <v>89</v>
      </c>
      <c r="D2" s="2" t="n">
        <v>8</v>
      </c>
      <c r="E2" s="2" t="n">
        <v>22</v>
      </c>
      <c r="F2" s="2" t="n">
        <v>32</v>
      </c>
      <c r="G2" s="2" t="n">
        <v>9</v>
      </c>
      <c r="H2" s="2" t="s">
        <v>90</v>
      </c>
      <c r="I2" s="2" t="n">
        <v>30</v>
      </c>
      <c r="J2" s="13" t="n">
        <v>0.2</v>
      </c>
      <c r="K2" s="13" t="n">
        <v>2</v>
      </c>
      <c r="L2" s="13" t="n">
        <v>1</v>
      </c>
      <c r="M2" s="2" t="s">
        <v>89</v>
      </c>
      <c r="N2" s="2" t="s">
        <v>89</v>
      </c>
      <c r="O2" s="2" t="s">
        <v>90</v>
      </c>
      <c r="P2" s="2" t="s">
        <v>90</v>
      </c>
      <c r="Q2" s="13" t="n">
        <f aca="false">D2*E2/100</f>
        <v>1.76</v>
      </c>
      <c r="R2" s="2" t="n">
        <f aca="false">MAX(1,ROUNDUP(Q2/Assumptions!$B$5-0.000000001,0))</f>
        <v>3</v>
      </c>
      <c r="S2" s="2" t="n">
        <f aca="false">MAX(1,ROUNDUP(G2/Assumptions!$B$6-0.000000001,0))</f>
        <v>12</v>
      </c>
      <c r="T2" s="13" t="n">
        <f aca="false">D2*Assumptions!$B$3+F2*Assumptions!$B$4</f>
        <v>192</v>
      </c>
      <c r="U2" s="13" t="n">
        <f aca="false">R2*Assumptions!$B$3+S2*Assumptions!$B$4</f>
        <v>72</v>
      </c>
      <c r="V2" s="13" t="n">
        <f aca="false">T2-U2</f>
        <v>120</v>
      </c>
      <c r="W2" s="14" t="n">
        <f aca="false">IF(AND(H2="Yes",I2&gt;=30),1,IF(AND(H2="Yes",I2&gt;=14),0.5,0))</f>
        <v>1</v>
      </c>
      <c r="X2" s="14" t="n">
        <f aca="false">IF(J2&lt;0.3,1,IF(J2&lt;0.6,0.5,0))</f>
        <v>1</v>
      </c>
      <c r="Y2" s="14" t="n">
        <f aca="false">IF(OR(K2&gt;10,L2&gt;5,M2="Yes",N2="Yes"),0,IF(OR(K2&gt;=5,L2&gt;=3,M2="Minor",N2="Minor"),0.5,1))</f>
        <v>1</v>
      </c>
      <c r="Z2" s="14" t="n">
        <f aca="false">IF(OR(C2="Yes",O2&lt;&gt;"Yes",P2&lt;&gt;"Yes"),0,1)</f>
        <v>1</v>
      </c>
      <c r="AA2" s="14" t="n">
        <f aca="false">AVERAGE(W2:Z2)</f>
        <v>1</v>
      </c>
      <c r="AB2" s="2" t="str">
        <f aca="false">IF(AA2&gt;=0.75,"High",IF(AA2&gt;=0.4,"Medium","Low"))</f>
        <v>High</v>
      </c>
      <c r="AC2" s="13" t="n">
        <f aca="false">MAX(0,V2)*IF(AB2="High",1,IF(AB2="Medium",0.6,0.2))</f>
        <v>120</v>
      </c>
      <c r="AD2" s="2" t="str">
        <f aca="false">IF(OR(C2="Yes",H2&lt;&gt;"Yes",E2&gt;=70,G2&gt;=F2,Y2=0,Z2=0),"HOLD / EXPERT REVIEW",IF(V2&gt;0,"REVIEW CANDIDATE","NO POSITIVE SAVING"))</f>
        <v>REVIEW CANDIDATE</v>
      </c>
      <c r="AE2" s="2" t="s">
        <v>91</v>
      </c>
    </row>
    <row r="3" customFormat="false" ht="15" hidden="false" customHeight="false" outlineLevel="0" collapsed="false">
      <c r="A3" s="3" t="s">
        <v>92</v>
      </c>
      <c r="B3" s="3" t="s">
        <v>93</v>
      </c>
      <c r="C3" s="3" t="s">
        <v>90</v>
      </c>
      <c r="D3" s="3" t="n">
        <v>8</v>
      </c>
      <c r="E3" s="3" t="n">
        <v>62</v>
      </c>
      <c r="F3" s="3" t="n">
        <v>64</v>
      </c>
      <c r="G3" s="3" t="n">
        <v>48</v>
      </c>
      <c r="H3" s="3" t="s">
        <v>90</v>
      </c>
      <c r="I3" s="3" t="n">
        <v>30</v>
      </c>
      <c r="J3" s="15" t="n">
        <v>0.4</v>
      </c>
      <c r="K3" s="15" t="n">
        <v>3</v>
      </c>
      <c r="L3" s="15" t="n">
        <v>2</v>
      </c>
      <c r="M3" s="3" t="s">
        <v>89</v>
      </c>
      <c r="N3" s="3" t="s">
        <v>89</v>
      </c>
      <c r="O3" s="3" t="s">
        <v>90</v>
      </c>
      <c r="P3" s="3" t="s">
        <v>90</v>
      </c>
      <c r="Q3" s="15" t="n">
        <f aca="false">D3*E3/100</f>
        <v>4.96</v>
      </c>
      <c r="R3" s="3" t="n">
        <f aca="false">MAX(1,ROUNDUP(Q3/Assumptions!$B$5-0.000000001,0))</f>
        <v>8</v>
      </c>
      <c r="S3" s="3" t="n">
        <f aca="false">MAX(1,ROUNDUP(G3/Assumptions!$B$6-0.000000001,0))</f>
        <v>60</v>
      </c>
      <c r="T3" s="15" t="n">
        <f aca="false">D3*Assumptions!$B$3+F3*Assumptions!$B$4</f>
        <v>288</v>
      </c>
      <c r="U3" s="15" t="n">
        <f aca="false">R3*Assumptions!$B$3+S3*Assumptions!$B$4</f>
        <v>276</v>
      </c>
      <c r="V3" s="15" t="n">
        <f aca="false">T3-U3</f>
        <v>12</v>
      </c>
      <c r="W3" s="16" t="n">
        <f aca="false">IF(AND(H3="Yes",I3&gt;=30),1,IF(AND(H3="Yes",I3&gt;=14),0.5,0))</f>
        <v>1</v>
      </c>
      <c r="X3" s="16" t="n">
        <f aca="false">IF(J3&lt;0.3,1,IF(J3&lt;0.6,0.5,0))</f>
        <v>0.5</v>
      </c>
      <c r="Y3" s="16" t="n">
        <f aca="false">IF(OR(K3&gt;10,L3&gt;5,M3="Yes",N3="Yes"),0,IF(OR(K3&gt;=5,L3&gt;=3,M3="Minor",N3="Minor"),0.5,1))</f>
        <v>1</v>
      </c>
      <c r="Z3" s="16" t="n">
        <f aca="false">IF(OR(C3="Yes",O3&lt;&gt;"Yes",P3&lt;&gt;"Yes"),0,1)</f>
        <v>0</v>
      </c>
      <c r="AA3" s="16" t="n">
        <f aca="false">AVERAGE(W3:Z3)</f>
        <v>0.625</v>
      </c>
      <c r="AB3" s="3" t="str">
        <f aca="false">IF(AA3&gt;=0.75,"High",IF(AA3&gt;=0.4,"Medium","Low"))</f>
        <v>Medium</v>
      </c>
      <c r="AC3" s="15" t="n">
        <f aca="false">MAX(0,V3)*IF(AB3="High",1,IF(AB3="Medium",0.6,0.2))</f>
        <v>7.2</v>
      </c>
      <c r="AD3" s="3" t="str">
        <f aca="false">IF(OR(C3="Yes",H3&lt;&gt;"Yes",E3&gt;=70,G3&gt;=F3,Y3=0,Z3=0),"HOLD / EXPERT REVIEW",IF(V3&gt;0,"REVIEW CANDIDATE","NO POSITIVE SAVING"))</f>
        <v>HOLD / EXPERT REVIEW</v>
      </c>
      <c r="AE3" s="3" t="s">
        <v>94</v>
      </c>
    </row>
    <row r="4" customFormat="false" ht="15" hidden="false" customHeight="false" outlineLevel="0" collapsed="false">
      <c r="A4" s="2" t="s">
        <v>95</v>
      </c>
      <c r="B4" s="2" t="s">
        <v>96</v>
      </c>
      <c r="C4" s="2" t="s">
        <v>89</v>
      </c>
      <c r="D4" s="2" t="n">
        <v>4</v>
      </c>
      <c r="E4" s="2" t="n">
        <v>18</v>
      </c>
      <c r="F4" s="2" t="n">
        <v>16</v>
      </c>
      <c r="G4" s="2" t="n">
        <v>5</v>
      </c>
      <c r="H4" s="2" t="s">
        <v>90</v>
      </c>
      <c r="I4" s="2" t="n">
        <v>30</v>
      </c>
      <c r="J4" s="13" t="n">
        <v>0.2</v>
      </c>
      <c r="K4" s="13" t="n">
        <v>2</v>
      </c>
      <c r="L4" s="13" t="n">
        <v>1</v>
      </c>
      <c r="M4" s="2" t="s">
        <v>89</v>
      </c>
      <c r="N4" s="2" t="s">
        <v>89</v>
      </c>
      <c r="O4" s="2" t="s">
        <v>90</v>
      </c>
      <c r="P4" s="2" t="s">
        <v>90</v>
      </c>
      <c r="Q4" s="13" t="n">
        <f aca="false">D4*E4/100</f>
        <v>0.72</v>
      </c>
      <c r="R4" s="2" t="n">
        <f aca="false">MAX(1,ROUNDUP(Q4/Assumptions!$B$5-0.000000001,0))</f>
        <v>2</v>
      </c>
      <c r="S4" s="2" t="n">
        <f aca="false">MAX(1,ROUNDUP(G4/Assumptions!$B$6-0.000000001,0))</f>
        <v>7</v>
      </c>
      <c r="T4" s="13" t="n">
        <f aca="false">D4*Assumptions!$B$3+F4*Assumptions!$B$4</f>
        <v>96</v>
      </c>
      <c r="U4" s="13" t="n">
        <f aca="false">R4*Assumptions!$B$3+S4*Assumptions!$B$4</f>
        <v>45</v>
      </c>
      <c r="V4" s="13" t="n">
        <f aca="false">T4-U4</f>
        <v>51</v>
      </c>
      <c r="W4" s="14" t="n">
        <f aca="false">IF(AND(H4="Yes",I4&gt;=30),1,IF(AND(H4="Yes",I4&gt;=14),0.5,0))</f>
        <v>1</v>
      </c>
      <c r="X4" s="14" t="n">
        <f aca="false">IF(J4&lt;0.3,1,IF(J4&lt;0.6,0.5,0))</f>
        <v>1</v>
      </c>
      <c r="Y4" s="14" t="n">
        <f aca="false">IF(OR(K4&gt;10,L4&gt;5,M4="Yes",N4="Yes"),0,IF(OR(K4&gt;=5,L4&gt;=3,M4="Minor",N4="Minor"),0.5,1))</f>
        <v>1</v>
      </c>
      <c r="Z4" s="14" t="n">
        <f aca="false">IF(OR(C4="Yes",O4&lt;&gt;"Yes",P4&lt;&gt;"Yes"),0,1)</f>
        <v>1</v>
      </c>
      <c r="AA4" s="14" t="n">
        <f aca="false">AVERAGE(W4:Z4)</f>
        <v>1</v>
      </c>
      <c r="AB4" s="2" t="str">
        <f aca="false">IF(AA4&gt;=0.75,"High",IF(AA4&gt;=0.4,"Medium","Low"))</f>
        <v>High</v>
      </c>
      <c r="AC4" s="13" t="n">
        <f aca="false">MAX(0,V4)*IF(AB4="High",1,IF(AB4="Medium",0.6,0.2))</f>
        <v>51</v>
      </c>
      <c r="AD4" s="2" t="str">
        <f aca="false">IF(OR(C4="Yes",H4&lt;&gt;"Yes",E4&gt;=70,G4&gt;=F4,Y4=0,Z4=0),"HOLD / EXPERT REVIEW",IF(V4&gt;0,"REVIEW CANDIDATE","NO POSITIVE SAVING"))</f>
        <v>REVIEW CANDIDATE</v>
      </c>
      <c r="AE4" s="2" t="s">
        <v>97</v>
      </c>
    </row>
    <row r="5" customFormat="false" ht="15" hidden="false" customHeight="false" outlineLevel="0" collapsed="false">
      <c r="A5" s="3" t="s">
        <v>98</v>
      </c>
      <c r="B5" s="3" t="s">
        <v>99</v>
      </c>
      <c r="C5" s="3" t="s">
        <v>89</v>
      </c>
      <c r="D5" s="3" t="n">
        <v>12</v>
      </c>
      <c r="E5" s="3" t="n">
        <v>35</v>
      </c>
      <c r="F5" s="3" t="n">
        <v>48</v>
      </c>
      <c r="G5" s="3" t="n">
        <v>22</v>
      </c>
      <c r="H5" s="3" t="s">
        <v>90</v>
      </c>
      <c r="I5" s="3" t="n">
        <v>30</v>
      </c>
      <c r="J5" s="15" t="n">
        <v>0.25</v>
      </c>
      <c r="K5" s="15" t="n">
        <v>2.5</v>
      </c>
      <c r="L5" s="15" t="n">
        <v>1.5</v>
      </c>
      <c r="M5" s="3" t="s">
        <v>89</v>
      </c>
      <c r="N5" s="3" t="s">
        <v>89</v>
      </c>
      <c r="O5" s="3" t="s">
        <v>90</v>
      </c>
      <c r="P5" s="3" t="s">
        <v>90</v>
      </c>
      <c r="Q5" s="15" t="n">
        <f aca="false">D5*E5/100</f>
        <v>4.2</v>
      </c>
      <c r="R5" s="3" t="n">
        <f aca="false">MAX(1,ROUNDUP(Q5/Assumptions!$B$5-0.000000001,0))</f>
        <v>6</v>
      </c>
      <c r="S5" s="3" t="n">
        <f aca="false">MAX(1,ROUNDUP(G5/Assumptions!$B$6-0.000000001,0))</f>
        <v>28</v>
      </c>
      <c r="T5" s="15" t="n">
        <f aca="false">D5*Assumptions!$B$3+F5*Assumptions!$B$4</f>
        <v>288</v>
      </c>
      <c r="U5" s="15" t="n">
        <f aca="false">R5*Assumptions!$B$3+S5*Assumptions!$B$4</f>
        <v>156</v>
      </c>
      <c r="V5" s="15" t="n">
        <f aca="false">T5-U5</f>
        <v>132</v>
      </c>
      <c r="W5" s="16" t="n">
        <f aca="false">IF(AND(H5="Yes",I5&gt;=30),1,IF(AND(H5="Yes",I5&gt;=14),0.5,0))</f>
        <v>1</v>
      </c>
      <c r="X5" s="16" t="n">
        <f aca="false">IF(J5&lt;0.3,1,IF(J5&lt;0.6,0.5,0))</f>
        <v>1</v>
      </c>
      <c r="Y5" s="16" t="n">
        <f aca="false">IF(OR(K5&gt;10,L5&gt;5,M5="Yes",N5="Yes"),0,IF(OR(K5&gt;=5,L5&gt;=3,M5="Minor",N5="Minor"),0.5,1))</f>
        <v>1</v>
      </c>
      <c r="Z5" s="16" t="n">
        <f aca="false">IF(OR(C5="Yes",O5&lt;&gt;"Yes",P5&lt;&gt;"Yes"),0,1)</f>
        <v>1</v>
      </c>
      <c r="AA5" s="16" t="n">
        <f aca="false">AVERAGE(W5:Z5)</f>
        <v>1</v>
      </c>
      <c r="AB5" s="3" t="str">
        <f aca="false">IF(AA5&gt;=0.75,"High",IF(AA5&gt;=0.4,"Medium","Low"))</f>
        <v>High</v>
      </c>
      <c r="AC5" s="15" t="n">
        <f aca="false">MAX(0,V5)*IF(AB5="High",1,IF(AB5="Medium",0.6,0.2))</f>
        <v>132</v>
      </c>
      <c r="AD5" s="3" t="str">
        <f aca="false">IF(OR(C5="Yes",H5&lt;&gt;"Yes",E5&gt;=70,G5&gt;=F5,Y5=0,Z5=0),"HOLD / EXPERT REVIEW",IF(V5&gt;0,"REVIEW CANDIDATE","NO POSITIVE SAVING"))</f>
        <v>REVIEW CANDIDATE</v>
      </c>
      <c r="AE5" s="3" t="s">
        <v>97</v>
      </c>
    </row>
    <row r="6" customFormat="false" ht="23.85" hidden="false" customHeight="false" outlineLevel="0" collapsed="false">
      <c r="A6" s="2" t="s">
        <v>100</v>
      </c>
      <c r="B6" s="2" t="s">
        <v>101</v>
      </c>
      <c r="C6" s="2" t="s">
        <v>89</v>
      </c>
      <c r="D6" s="2" t="n">
        <v>8</v>
      </c>
      <c r="E6" s="2" t="n">
        <v>78</v>
      </c>
      <c r="F6" s="2" t="n">
        <v>16</v>
      </c>
      <c r="G6" s="2" t="n">
        <v>11</v>
      </c>
      <c r="H6" s="2" t="s">
        <v>90</v>
      </c>
      <c r="I6" s="2" t="n">
        <v>30</v>
      </c>
      <c r="J6" s="13" t="n">
        <v>0.25</v>
      </c>
      <c r="K6" s="13" t="n">
        <v>2</v>
      </c>
      <c r="L6" s="13" t="n">
        <v>1</v>
      </c>
      <c r="M6" s="2" t="s">
        <v>89</v>
      </c>
      <c r="N6" s="2" t="s">
        <v>89</v>
      </c>
      <c r="O6" s="2" t="s">
        <v>90</v>
      </c>
      <c r="P6" s="2" t="s">
        <v>90</v>
      </c>
      <c r="Q6" s="13" t="n">
        <f aca="false">D6*E6/100</f>
        <v>6.24</v>
      </c>
      <c r="R6" s="2" t="n">
        <f aca="false">MAX(1,ROUNDUP(Q6/Assumptions!$B$5-0.000000001,0))</f>
        <v>9</v>
      </c>
      <c r="S6" s="2" t="n">
        <f aca="false">MAX(1,ROUNDUP(G6/Assumptions!$B$6-0.000000001,0))</f>
        <v>14</v>
      </c>
      <c r="T6" s="13" t="n">
        <f aca="false">D6*Assumptions!$B$3+F6*Assumptions!$B$4</f>
        <v>144</v>
      </c>
      <c r="U6" s="13" t="n">
        <f aca="false">R6*Assumptions!$B$3+S6*Assumptions!$B$4</f>
        <v>150</v>
      </c>
      <c r="V6" s="13" t="n">
        <f aca="false">T6-U6</f>
        <v>-6</v>
      </c>
      <c r="W6" s="14" t="n">
        <f aca="false">IF(AND(H6="Yes",I6&gt;=30),1,IF(AND(H6="Yes",I6&gt;=14),0.5,0))</f>
        <v>1</v>
      </c>
      <c r="X6" s="14" t="n">
        <f aca="false">IF(J6&lt;0.3,1,IF(J6&lt;0.6,0.5,0))</f>
        <v>1</v>
      </c>
      <c r="Y6" s="14" t="n">
        <f aca="false">IF(OR(K6&gt;10,L6&gt;5,M6="Yes",N6="Yes"),0,IF(OR(K6&gt;=5,L6&gt;=3,M6="Minor",N6="Minor"),0.5,1))</f>
        <v>1</v>
      </c>
      <c r="Z6" s="14" t="n">
        <f aca="false">IF(OR(C6="Yes",O6&lt;&gt;"Yes",P6&lt;&gt;"Yes"),0,1)</f>
        <v>1</v>
      </c>
      <c r="AA6" s="14" t="n">
        <f aca="false">AVERAGE(W6:Z6)</f>
        <v>1</v>
      </c>
      <c r="AB6" s="2" t="str">
        <f aca="false">IF(AA6&gt;=0.75,"High",IF(AA6&gt;=0.4,"Medium","Low"))</f>
        <v>High</v>
      </c>
      <c r="AC6" s="13" t="n">
        <f aca="false">MAX(0,V6)*IF(AB6="High",1,IF(AB6="Medium",0.6,0.2))</f>
        <v>0</v>
      </c>
      <c r="AD6" s="2" t="str">
        <f aca="false">IF(OR(C6="Yes",H6&lt;&gt;"Yes",E6&gt;=70,G6&gt;=F6,Y6=0,Z6=0),"HOLD / EXPERT REVIEW",IF(V6&gt;0,"REVIEW CANDIDATE","NO POSITIVE SAVING"))</f>
        <v>HOLD / EXPERT REVIEW</v>
      </c>
      <c r="AE6" s="2" t="s">
        <v>102</v>
      </c>
    </row>
    <row r="7" customFormat="false" ht="15" hidden="false" customHeight="false" outlineLevel="0" collapsed="false">
      <c r="A7" s="3" t="s">
        <v>103</v>
      </c>
      <c r="B7" s="3" t="s">
        <v>104</v>
      </c>
      <c r="C7" s="3" t="s">
        <v>90</v>
      </c>
      <c r="D7" s="3" t="n">
        <v>4</v>
      </c>
      <c r="E7" s="3" t="n">
        <v>28</v>
      </c>
      <c r="F7" s="3" t="n">
        <v>64</v>
      </c>
      <c r="G7" s="3" t="n">
        <v>44</v>
      </c>
      <c r="H7" s="3" t="s">
        <v>90</v>
      </c>
      <c r="I7" s="3" t="n">
        <v>30</v>
      </c>
      <c r="J7" s="15" t="n">
        <v>0.4</v>
      </c>
      <c r="K7" s="15" t="n">
        <v>3</v>
      </c>
      <c r="L7" s="15" t="n">
        <v>2</v>
      </c>
      <c r="M7" s="3" t="s">
        <v>89</v>
      </c>
      <c r="N7" s="3" t="s">
        <v>89</v>
      </c>
      <c r="O7" s="3" t="s">
        <v>90</v>
      </c>
      <c r="P7" s="3" t="s">
        <v>90</v>
      </c>
      <c r="Q7" s="15" t="n">
        <f aca="false">D7*E7/100</f>
        <v>1.12</v>
      </c>
      <c r="R7" s="3" t="n">
        <f aca="false">MAX(1,ROUNDUP(Q7/Assumptions!$B$5-0.000000001,0))</f>
        <v>2</v>
      </c>
      <c r="S7" s="3" t="n">
        <f aca="false">MAX(1,ROUNDUP(G7/Assumptions!$B$6-0.000000001,0))</f>
        <v>55</v>
      </c>
      <c r="T7" s="15" t="n">
        <f aca="false">D7*Assumptions!$B$3+F7*Assumptions!$B$4</f>
        <v>240</v>
      </c>
      <c r="U7" s="15" t="n">
        <f aca="false">R7*Assumptions!$B$3+S7*Assumptions!$B$4</f>
        <v>189</v>
      </c>
      <c r="V7" s="15" t="n">
        <f aca="false">T7-U7</f>
        <v>51</v>
      </c>
      <c r="W7" s="16" t="n">
        <f aca="false">IF(AND(H7="Yes",I7&gt;=30),1,IF(AND(H7="Yes",I7&gt;=14),0.5,0))</f>
        <v>1</v>
      </c>
      <c r="X7" s="16" t="n">
        <f aca="false">IF(J7&lt;0.3,1,IF(J7&lt;0.6,0.5,0))</f>
        <v>0.5</v>
      </c>
      <c r="Y7" s="16" t="n">
        <f aca="false">IF(OR(K7&gt;10,L7&gt;5,M7="Yes",N7="Yes"),0,IF(OR(K7&gt;=5,L7&gt;=3,M7="Minor",N7="Minor"),0.5,1))</f>
        <v>1</v>
      </c>
      <c r="Z7" s="16" t="n">
        <f aca="false">IF(OR(C7="Yes",O7&lt;&gt;"Yes",P7&lt;&gt;"Yes"),0,1)</f>
        <v>0</v>
      </c>
      <c r="AA7" s="16" t="n">
        <f aca="false">AVERAGE(W7:Z7)</f>
        <v>0.625</v>
      </c>
      <c r="AB7" s="3" t="str">
        <f aca="false">IF(AA7&gt;=0.75,"High",IF(AA7&gt;=0.4,"Medium","Low"))</f>
        <v>Medium</v>
      </c>
      <c r="AC7" s="15" t="n">
        <f aca="false">MAX(0,V7)*IF(AB7="High",1,IF(AB7="Medium",0.6,0.2))</f>
        <v>30.6</v>
      </c>
      <c r="AD7" s="3" t="str">
        <f aca="false">IF(OR(C7="Yes",H7&lt;&gt;"Yes",E7&gt;=70,G7&gt;=F7,Y7=0,Z7=0),"HOLD / EXPERT REVIEW",IF(V7&gt;0,"REVIEW CANDIDATE","NO POSITIVE SAVING"))</f>
        <v>HOLD / EXPERT REVIEW</v>
      </c>
      <c r="AE7" s="3" t="s">
        <v>105</v>
      </c>
    </row>
    <row r="8" customFormat="false" ht="15" hidden="false" customHeight="false" outlineLevel="0" collapsed="false">
      <c r="A8" s="2" t="s">
        <v>106</v>
      </c>
      <c r="B8" s="2" t="s">
        <v>107</v>
      </c>
      <c r="C8" s="2" t="s">
        <v>89</v>
      </c>
      <c r="D8" s="2" t="n">
        <v>2</v>
      </c>
      <c r="E8" s="2" t="n">
        <v>12</v>
      </c>
      <c r="F8" s="2" t="n">
        <v>8</v>
      </c>
      <c r="G8" s="2" t="n">
        <v>2</v>
      </c>
      <c r="H8" s="2" t="s">
        <v>90</v>
      </c>
      <c r="I8" s="2" t="n">
        <v>30</v>
      </c>
      <c r="J8" s="13" t="n">
        <v>0.2</v>
      </c>
      <c r="K8" s="13" t="n">
        <v>1</v>
      </c>
      <c r="L8" s="13" t="n">
        <v>1</v>
      </c>
      <c r="M8" s="2" t="s">
        <v>89</v>
      </c>
      <c r="N8" s="2" t="s">
        <v>89</v>
      </c>
      <c r="O8" s="2" t="s">
        <v>90</v>
      </c>
      <c r="P8" s="2" t="s">
        <v>90</v>
      </c>
      <c r="Q8" s="13" t="n">
        <f aca="false">D8*E8/100</f>
        <v>0.24</v>
      </c>
      <c r="R8" s="2" t="n">
        <f aca="false">MAX(1,ROUNDUP(Q8/Assumptions!$B$5-0.000000001,0))</f>
        <v>1</v>
      </c>
      <c r="S8" s="2" t="n">
        <f aca="false">MAX(1,ROUNDUP(G8/Assumptions!$B$6-0.000000001,0))</f>
        <v>3</v>
      </c>
      <c r="T8" s="13" t="n">
        <f aca="false">D8*Assumptions!$B$3+F8*Assumptions!$B$4</f>
        <v>48</v>
      </c>
      <c r="U8" s="13" t="n">
        <f aca="false">R8*Assumptions!$B$3+S8*Assumptions!$B$4</f>
        <v>21</v>
      </c>
      <c r="V8" s="13" t="n">
        <f aca="false">T8-U8</f>
        <v>27</v>
      </c>
      <c r="W8" s="14" t="n">
        <f aca="false">IF(AND(H8="Yes",I8&gt;=30),1,IF(AND(H8="Yes",I8&gt;=14),0.5,0))</f>
        <v>1</v>
      </c>
      <c r="X8" s="14" t="n">
        <f aca="false">IF(J8&lt;0.3,1,IF(J8&lt;0.6,0.5,0))</f>
        <v>1</v>
      </c>
      <c r="Y8" s="14" t="n">
        <f aca="false">IF(OR(K8&gt;10,L8&gt;5,M8="Yes",N8="Yes"),0,IF(OR(K8&gt;=5,L8&gt;=3,M8="Minor",N8="Minor"),0.5,1))</f>
        <v>1</v>
      </c>
      <c r="Z8" s="14" t="n">
        <f aca="false">IF(OR(C8="Yes",O8&lt;&gt;"Yes",P8&lt;&gt;"Yes"),0,1)</f>
        <v>1</v>
      </c>
      <c r="AA8" s="14" t="n">
        <f aca="false">AVERAGE(W8:Z8)</f>
        <v>1</v>
      </c>
      <c r="AB8" s="2" t="str">
        <f aca="false">IF(AA8&gt;=0.75,"High",IF(AA8&gt;=0.4,"Medium","Low"))</f>
        <v>High</v>
      </c>
      <c r="AC8" s="13" t="n">
        <f aca="false">MAX(0,V8)*IF(AB8="High",1,IF(AB8="Medium",0.6,0.2))</f>
        <v>27</v>
      </c>
      <c r="AD8" s="2" t="str">
        <f aca="false">IF(OR(C8="Yes",H8&lt;&gt;"Yes",E8&gt;=70,G8&gt;=F8,Y8=0,Z8=0),"HOLD / EXPERT REVIEW",IF(V8&gt;0,"REVIEW CANDIDATE","NO POSITIVE SAVING"))</f>
        <v>REVIEW CANDIDATE</v>
      </c>
      <c r="AE8" s="2" t="s">
        <v>97</v>
      </c>
    </row>
    <row r="9" customFormat="false" ht="15" hidden="false" customHeight="false" outlineLevel="0" collapsed="false">
      <c r="A9" s="3" t="s">
        <v>108</v>
      </c>
      <c r="B9" s="3" t="s">
        <v>109</v>
      </c>
      <c r="C9" s="3" t="s">
        <v>89</v>
      </c>
      <c r="D9" s="3" t="n">
        <v>8</v>
      </c>
      <c r="E9" s="3" t="n">
        <v>48</v>
      </c>
      <c r="F9" s="3" t="n">
        <v>32</v>
      </c>
      <c r="G9" s="3" t="n">
        <v>18</v>
      </c>
      <c r="H9" s="3" t="s">
        <v>89</v>
      </c>
      <c r="I9" s="3" t="n">
        <v>10</v>
      </c>
      <c r="J9" s="15" t="n">
        <v>0.4</v>
      </c>
      <c r="K9" s="15" t="n">
        <v>2</v>
      </c>
      <c r="L9" s="15" t="n">
        <v>1</v>
      </c>
      <c r="M9" s="3" t="s">
        <v>89</v>
      </c>
      <c r="N9" s="3" t="s">
        <v>89</v>
      </c>
      <c r="O9" s="3" t="s">
        <v>90</v>
      </c>
      <c r="P9" s="3" t="s">
        <v>90</v>
      </c>
      <c r="Q9" s="15" t="n">
        <f aca="false">D9*E9/100</f>
        <v>3.84</v>
      </c>
      <c r="R9" s="3" t="n">
        <f aca="false">MAX(1,ROUNDUP(Q9/Assumptions!$B$5-0.000000001,0))</f>
        <v>6</v>
      </c>
      <c r="S9" s="3" t="n">
        <f aca="false">MAX(1,ROUNDUP(G9/Assumptions!$B$6-0.000000001,0))</f>
        <v>23</v>
      </c>
      <c r="T9" s="15" t="n">
        <f aca="false">D9*Assumptions!$B$3+F9*Assumptions!$B$4</f>
        <v>192</v>
      </c>
      <c r="U9" s="15" t="n">
        <f aca="false">R9*Assumptions!$B$3+S9*Assumptions!$B$4</f>
        <v>141</v>
      </c>
      <c r="V9" s="15" t="n">
        <f aca="false">T9-U9</f>
        <v>51</v>
      </c>
      <c r="W9" s="16" t="n">
        <f aca="false">IF(AND(H9="Yes",I9&gt;=30),1,IF(AND(H9="Yes",I9&gt;=14),0.5,0))</f>
        <v>0</v>
      </c>
      <c r="X9" s="16" t="n">
        <f aca="false">IF(J9&lt;0.3,1,IF(J9&lt;0.6,0.5,0))</f>
        <v>0.5</v>
      </c>
      <c r="Y9" s="16" t="n">
        <f aca="false">IF(OR(K9&gt;10,L9&gt;5,M9="Yes",N9="Yes"),0,IF(OR(K9&gt;=5,L9&gt;=3,M9="Minor",N9="Minor"),0.5,1))</f>
        <v>1</v>
      </c>
      <c r="Z9" s="16" t="n">
        <f aca="false">IF(OR(C9="Yes",O9&lt;&gt;"Yes",P9&lt;&gt;"Yes"),0,1)</f>
        <v>1</v>
      </c>
      <c r="AA9" s="16" t="n">
        <f aca="false">AVERAGE(W9:Z9)</f>
        <v>0.625</v>
      </c>
      <c r="AB9" s="3" t="str">
        <f aca="false">IF(AA9&gt;=0.75,"High",IF(AA9&gt;=0.4,"Medium","Low"))</f>
        <v>Medium</v>
      </c>
      <c r="AC9" s="15" t="n">
        <f aca="false">MAX(0,V9)*IF(AB9="High",1,IF(AB9="Medium",0.6,0.2))</f>
        <v>30.6</v>
      </c>
      <c r="AD9" s="3" t="str">
        <f aca="false">IF(OR(C9="Yes",H9&lt;&gt;"Yes",E9&gt;=70,G9&gt;=F9,Y9=0,Z9=0),"HOLD / EXPERT REVIEW",IF(V9&gt;0,"REVIEW CANDIDATE","NO POSITIVE SAVING"))</f>
        <v>HOLD / EXPERT REVIEW</v>
      </c>
      <c r="AE9" s="3" t="s">
        <v>110</v>
      </c>
    </row>
    <row r="10" customFormat="false" ht="15" hidden="false" customHeight="false" outlineLevel="0" collapsed="false">
      <c r="A10" s="2" t="s">
        <v>111</v>
      </c>
      <c r="B10" s="2" t="s">
        <v>112</v>
      </c>
      <c r="C10" s="2" t="s">
        <v>89</v>
      </c>
      <c r="D10" s="2" t="n">
        <v>16</v>
      </c>
      <c r="E10" s="2" t="n">
        <v>67</v>
      </c>
      <c r="F10" s="2" t="n">
        <v>64</v>
      </c>
      <c r="G10" s="2" t="n">
        <v>40</v>
      </c>
      <c r="H10" s="2" t="s">
        <v>90</v>
      </c>
      <c r="I10" s="2" t="n">
        <v>30</v>
      </c>
      <c r="J10" s="13" t="n">
        <v>0.4</v>
      </c>
      <c r="K10" s="13" t="n">
        <v>3</v>
      </c>
      <c r="L10" s="13" t="n">
        <v>2</v>
      </c>
      <c r="M10" s="2" t="s">
        <v>89</v>
      </c>
      <c r="N10" s="2" t="s">
        <v>89</v>
      </c>
      <c r="O10" s="2" t="s">
        <v>90</v>
      </c>
      <c r="P10" s="2" t="s">
        <v>90</v>
      </c>
      <c r="Q10" s="13" t="n">
        <f aca="false">D10*E10/100</f>
        <v>10.72</v>
      </c>
      <c r="R10" s="2" t="n">
        <f aca="false">MAX(1,ROUNDUP(Q10/Assumptions!$B$5-0.000000001,0))</f>
        <v>16</v>
      </c>
      <c r="S10" s="2" t="n">
        <f aca="false">MAX(1,ROUNDUP(G10/Assumptions!$B$6-0.000000001,0))</f>
        <v>50</v>
      </c>
      <c r="T10" s="13" t="n">
        <f aca="false">D10*Assumptions!$B$3+F10*Assumptions!$B$4</f>
        <v>384</v>
      </c>
      <c r="U10" s="13" t="n">
        <f aca="false">R10*Assumptions!$B$3+S10*Assumptions!$B$4</f>
        <v>342</v>
      </c>
      <c r="V10" s="13" t="n">
        <f aca="false">T10-U10</f>
        <v>42</v>
      </c>
      <c r="W10" s="14" t="n">
        <f aca="false">IF(AND(H10="Yes",I10&gt;=30),1,IF(AND(H10="Yes",I10&gt;=14),0.5,0))</f>
        <v>1</v>
      </c>
      <c r="X10" s="14" t="n">
        <f aca="false">IF(J10&lt;0.3,1,IF(J10&lt;0.6,0.5,0))</f>
        <v>0.5</v>
      </c>
      <c r="Y10" s="14" t="n">
        <f aca="false">IF(OR(K10&gt;10,L10&gt;5,M10="Yes",N10="Yes"),0,IF(OR(K10&gt;=5,L10&gt;=3,M10="Minor",N10="Minor"),0.5,1))</f>
        <v>1</v>
      </c>
      <c r="Z10" s="14" t="n">
        <f aca="false">IF(OR(C10="Yes",O10&lt;&gt;"Yes",P10&lt;&gt;"Yes"),0,1)</f>
        <v>1</v>
      </c>
      <c r="AA10" s="14" t="n">
        <f aca="false">AVERAGE(W10:Z10)</f>
        <v>0.875</v>
      </c>
      <c r="AB10" s="2" t="str">
        <f aca="false">IF(AA10&gt;=0.75,"High",IF(AA10&gt;=0.4,"Medium","Low"))</f>
        <v>High</v>
      </c>
      <c r="AC10" s="13" t="n">
        <f aca="false">MAX(0,V10)*IF(AB10="High",1,IF(AB10="Medium",0.6,0.2))</f>
        <v>42</v>
      </c>
      <c r="AD10" s="2" t="str">
        <f aca="false">IF(OR(C10="Yes",H10&lt;&gt;"Yes",E10&gt;=70,G10&gt;=F10,Y10=0,Z10=0),"HOLD / EXPERT REVIEW",IF(V10&gt;0,"REVIEW CANDIDATE","NO POSITIVE SAVING"))</f>
        <v>REVIEW CANDIDATE</v>
      </c>
      <c r="AE10" s="2" t="s">
        <v>113</v>
      </c>
    </row>
    <row r="11" customFormat="false" ht="15" hidden="false" customHeight="false" outlineLevel="0" collapsed="false">
      <c r="A11" s="3" t="s">
        <v>114</v>
      </c>
      <c r="B11" s="3" t="s">
        <v>115</v>
      </c>
      <c r="C11" s="3" t="s">
        <v>90</v>
      </c>
      <c r="D11" s="3" t="n">
        <v>4</v>
      </c>
      <c r="E11" s="3" t="n">
        <v>20</v>
      </c>
      <c r="F11" s="3" t="n">
        <v>32</v>
      </c>
      <c r="G11" s="3" t="n">
        <v>25</v>
      </c>
      <c r="H11" s="3" t="s">
        <v>90</v>
      </c>
      <c r="I11" s="3" t="n">
        <v>30</v>
      </c>
      <c r="J11" s="15" t="n">
        <v>0.4</v>
      </c>
      <c r="K11" s="15" t="n">
        <v>2</v>
      </c>
      <c r="L11" s="15" t="n">
        <v>1</v>
      </c>
      <c r="M11" s="3" t="s">
        <v>89</v>
      </c>
      <c r="N11" s="3" t="s">
        <v>89</v>
      </c>
      <c r="O11" s="3" t="s">
        <v>90</v>
      </c>
      <c r="P11" s="3" t="s">
        <v>90</v>
      </c>
      <c r="Q11" s="15" t="n">
        <f aca="false">D11*E11/100</f>
        <v>0.8</v>
      </c>
      <c r="R11" s="3" t="n">
        <f aca="false">MAX(1,ROUNDUP(Q11/Assumptions!$B$5-0.000000001,0))</f>
        <v>2</v>
      </c>
      <c r="S11" s="3" t="n">
        <f aca="false">MAX(1,ROUNDUP(G11/Assumptions!$B$6-0.000000001,0))</f>
        <v>32</v>
      </c>
      <c r="T11" s="15" t="n">
        <f aca="false">D11*Assumptions!$B$3+F11*Assumptions!$B$4</f>
        <v>144</v>
      </c>
      <c r="U11" s="15" t="n">
        <f aca="false">R11*Assumptions!$B$3+S11*Assumptions!$B$4</f>
        <v>120</v>
      </c>
      <c r="V11" s="15" t="n">
        <f aca="false">T11-U11</f>
        <v>24</v>
      </c>
      <c r="W11" s="16" t="n">
        <f aca="false">IF(AND(H11="Yes",I11&gt;=30),1,IF(AND(H11="Yes",I11&gt;=14),0.5,0))</f>
        <v>1</v>
      </c>
      <c r="X11" s="16" t="n">
        <f aca="false">IF(J11&lt;0.3,1,IF(J11&lt;0.6,0.5,0))</f>
        <v>0.5</v>
      </c>
      <c r="Y11" s="16" t="n">
        <f aca="false">IF(OR(K11&gt;10,L11&gt;5,M11="Yes",N11="Yes"),0,IF(OR(K11&gt;=5,L11&gt;=3,M11="Minor",N11="Minor"),0.5,1))</f>
        <v>1</v>
      </c>
      <c r="Z11" s="16" t="n">
        <f aca="false">IF(OR(C11="Yes",O11&lt;&gt;"Yes",P11&lt;&gt;"Yes"),0,1)</f>
        <v>0</v>
      </c>
      <c r="AA11" s="16" t="n">
        <f aca="false">AVERAGE(W11:Z11)</f>
        <v>0.625</v>
      </c>
      <c r="AB11" s="3" t="str">
        <f aca="false">IF(AA11&gt;=0.75,"High",IF(AA11&gt;=0.4,"Medium","Low"))</f>
        <v>Medium</v>
      </c>
      <c r="AC11" s="15" t="n">
        <f aca="false">MAX(0,V11)*IF(AB11="High",1,IF(AB11="Medium",0.6,0.2))</f>
        <v>14.4</v>
      </c>
      <c r="AD11" s="3" t="str">
        <f aca="false">IF(OR(C11="Yes",H11&lt;&gt;"Yes",E11&gt;=70,G11&gt;=F11,Y11=0,Z11=0),"HOLD / EXPERT REVIEW",IF(V11&gt;0,"REVIEW CANDIDATE","NO POSITIVE SAVING"))</f>
        <v>HOLD / EXPERT REVIEW</v>
      </c>
      <c r="AE11" s="3" t="s">
        <v>105</v>
      </c>
    </row>
    <row r="12" customFormat="false" ht="15" hidden="false" customHeight="false" outlineLevel="0" collapsed="false">
      <c r="A12" s="2" t="s">
        <v>116</v>
      </c>
      <c r="B12" s="2" t="s">
        <v>117</v>
      </c>
      <c r="C12" s="2" t="s">
        <v>89</v>
      </c>
      <c r="D12" s="2" t="n">
        <v>8</v>
      </c>
      <c r="E12" s="2" t="n">
        <v>9</v>
      </c>
      <c r="F12" s="2" t="n">
        <v>32</v>
      </c>
      <c r="G12" s="2" t="n">
        <v>4</v>
      </c>
      <c r="H12" s="2" t="s">
        <v>90</v>
      </c>
      <c r="I12" s="2" t="n">
        <v>30</v>
      </c>
      <c r="J12" s="13" t="n">
        <v>0.2</v>
      </c>
      <c r="K12" s="13" t="n">
        <v>1</v>
      </c>
      <c r="L12" s="13" t="n">
        <v>1</v>
      </c>
      <c r="M12" s="2" t="s">
        <v>89</v>
      </c>
      <c r="N12" s="2" t="s">
        <v>89</v>
      </c>
      <c r="O12" s="2" t="s">
        <v>90</v>
      </c>
      <c r="P12" s="2" t="s">
        <v>90</v>
      </c>
      <c r="Q12" s="13" t="n">
        <f aca="false">D12*E12/100</f>
        <v>0.72</v>
      </c>
      <c r="R12" s="2" t="n">
        <f aca="false">MAX(1,ROUNDUP(Q12/Assumptions!$B$5-0.000000001,0))</f>
        <v>2</v>
      </c>
      <c r="S12" s="2" t="n">
        <f aca="false">MAX(1,ROUNDUP(G12/Assumptions!$B$6-0.000000001,0))</f>
        <v>5</v>
      </c>
      <c r="T12" s="13" t="n">
        <f aca="false">D12*Assumptions!$B$3+F12*Assumptions!$B$4</f>
        <v>192</v>
      </c>
      <c r="U12" s="13" t="n">
        <f aca="false">R12*Assumptions!$B$3+S12*Assumptions!$B$4</f>
        <v>39</v>
      </c>
      <c r="V12" s="13" t="n">
        <f aca="false">T12-U12</f>
        <v>153</v>
      </c>
      <c r="W12" s="14" t="n">
        <f aca="false">IF(AND(H12="Yes",I12&gt;=30),1,IF(AND(H12="Yes",I12&gt;=14),0.5,0))</f>
        <v>1</v>
      </c>
      <c r="X12" s="14" t="n">
        <f aca="false">IF(J12&lt;0.3,1,IF(J12&lt;0.6,0.5,0))</f>
        <v>1</v>
      </c>
      <c r="Y12" s="14" t="n">
        <f aca="false">IF(OR(K12&gt;10,L12&gt;5,M12="Yes",N12="Yes"),0,IF(OR(K12&gt;=5,L12&gt;=3,M12="Minor",N12="Minor"),0.5,1))</f>
        <v>1</v>
      </c>
      <c r="Z12" s="14" t="n">
        <f aca="false">IF(OR(C12="Yes",O12&lt;&gt;"Yes",P12&lt;&gt;"Yes"),0,1)</f>
        <v>1</v>
      </c>
      <c r="AA12" s="14" t="n">
        <f aca="false">AVERAGE(W12:Z12)</f>
        <v>1</v>
      </c>
      <c r="AB12" s="2" t="str">
        <f aca="false">IF(AA12&gt;=0.75,"High",IF(AA12&gt;=0.4,"Medium","Low"))</f>
        <v>High</v>
      </c>
      <c r="AC12" s="13" t="n">
        <f aca="false">MAX(0,V12)*IF(AB12="High",1,IF(AB12="Medium",0.6,0.2))</f>
        <v>153</v>
      </c>
      <c r="AD12" s="2" t="str">
        <f aca="false">IF(OR(C12="Yes",H12&lt;&gt;"Yes",E12&gt;=70,G12&gt;=F12,Y12=0,Z12=0),"HOLD / EXPERT REVIEW",IF(V12&gt;0,"REVIEW CANDIDATE","NO POSITIVE SAVING"))</f>
        <v>REVIEW CANDIDATE</v>
      </c>
      <c r="AE12" s="2" t="s">
        <v>118</v>
      </c>
    </row>
    <row r="13" customFormat="false" ht="23.85" hidden="false" customHeight="false" outlineLevel="0" collapsed="false">
      <c r="A13" s="3" t="s">
        <v>119</v>
      </c>
      <c r="B13" s="3" t="s">
        <v>120</v>
      </c>
      <c r="C13" s="3" t="s">
        <v>90</v>
      </c>
      <c r="D13" s="3" t="n">
        <v>4</v>
      </c>
      <c r="E13" s="3" t="n">
        <v>42</v>
      </c>
      <c r="F13" s="3" t="n">
        <v>8</v>
      </c>
      <c r="G13" s="3" t="n">
        <v>5</v>
      </c>
      <c r="H13" s="3" t="s">
        <v>90</v>
      </c>
      <c r="I13" s="3" t="n">
        <v>30</v>
      </c>
      <c r="J13" s="15" t="n">
        <v>0.4</v>
      </c>
      <c r="K13" s="15" t="n">
        <v>2</v>
      </c>
      <c r="L13" s="15" t="n">
        <v>1</v>
      </c>
      <c r="M13" s="3" t="s">
        <v>89</v>
      </c>
      <c r="N13" s="3" t="s">
        <v>89</v>
      </c>
      <c r="O13" s="3" t="s">
        <v>90</v>
      </c>
      <c r="P13" s="3" t="s">
        <v>89</v>
      </c>
      <c r="Q13" s="15" t="n">
        <f aca="false">D13*E13/100</f>
        <v>1.68</v>
      </c>
      <c r="R13" s="3" t="n">
        <f aca="false">MAX(1,ROUNDUP(Q13/Assumptions!$B$5-0.000000001,0))</f>
        <v>3</v>
      </c>
      <c r="S13" s="3" t="n">
        <f aca="false">MAX(1,ROUNDUP(G13/Assumptions!$B$6-0.000000001,0))</f>
        <v>7</v>
      </c>
      <c r="T13" s="15" t="n">
        <f aca="false">D13*Assumptions!$B$3+F13*Assumptions!$B$4</f>
        <v>72</v>
      </c>
      <c r="U13" s="15" t="n">
        <f aca="false">R13*Assumptions!$B$3+S13*Assumptions!$B$4</f>
        <v>57</v>
      </c>
      <c r="V13" s="15" t="n">
        <f aca="false">T13-U13</f>
        <v>15</v>
      </c>
      <c r="W13" s="16" t="n">
        <f aca="false">IF(AND(H13="Yes",I13&gt;=30),1,IF(AND(H13="Yes",I13&gt;=14),0.5,0))</f>
        <v>1</v>
      </c>
      <c r="X13" s="16" t="n">
        <f aca="false">IF(J13&lt;0.3,1,IF(J13&lt;0.6,0.5,0))</f>
        <v>0.5</v>
      </c>
      <c r="Y13" s="16" t="n">
        <f aca="false">IF(OR(K13&gt;10,L13&gt;5,M13="Yes",N13="Yes"),0,IF(OR(K13&gt;=5,L13&gt;=3,M13="Minor",N13="Minor"),0.5,1))</f>
        <v>1</v>
      </c>
      <c r="Z13" s="16" t="n">
        <f aca="false">IF(OR(C13="Yes",O13&lt;&gt;"Yes",P13&lt;&gt;"Yes"),0,1)</f>
        <v>0</v>
      </c>
      <c r="AA13" s="16" t="n">
        <f aca="false">AVERAGE(W13:Z13)</f>
        <v>0.625</v>
      </c>
      <c r="AB13" s="3" t="str">
        <f aca="false">IF(AA13&gt;=0.75,"High",IF(AA13&gt;=0.4,"Medium","Low"))</f>
        <v>Medium</v>
      </c>
      <c r="AC13" s="15" t="n">
        <f aca="false">MAX(0,V13)*IF(AB13="High",1,IF(AB13="Medium",0.6,0.2))</f>
        <v>9</v>
      </c>
      <c r="AD13" s="3" t="str">
        <f aca="false">IF(OR(C13="Yes",H13&lt;&gt;"Yes",E13&gt;=70,G13&gt;=F13,Y13=0,Z13=0),"HOLD / EXPERT REVIEW",IF(V13&gt;0,"REVIEW CANDIDATE","NO POSITIVE SAVING"))</f>
        <v>HOLD / EXPERT REVIEW</v>
      </c>
      <c r="AE13" s="3" t="s">
        <v>121</v>
      </c>
    </row>
  </sheetData>
  <autoFilter ref="A1:AE1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0"/>
    <col collapsed="false" customWidth="true" hidden="false" outlineLevel="0" max="5" min="3" style="0" width="38"/>
    <col collapsed="false" customWidth="true" hidden="false" outlineLevel="0" max="6" min="6" style="0" width="34"/>
    <col collapsed="false" customWidth="true" hidden="false" outlineLevel="0" max="7" min="7" style="0" width="40"/>
    <col collapsed="false" customWidth="true" hidden="false" outlineLevel="0" max="8" min="8" style="0" width="48"/>
    <col collapsed="false" customWidth="true" hidden="false" outlineLevel="0" max="9" min="9" style="0" width="62"/>
    <col collapsed="false" customWidth="true" hidden="false" outlineLevel="0" max="10" min="10" style="0" width="16"/>
  </cols>
  <sheetData>
    <row r="1" customFormat="false" ht="37.5" hidden="false" customHeight="true" outlineLevel="0" collapsed="false">
      <c r="A1" s="12" t="s">
        <v>122</v>
      </c>
      <c r="B1" s="12" t="s">
        <v>123</v>
      </c>
      <c r="C1" s="12" t="s">
        <v>124</v>
      </c>
      <c r="D1" s="12" t="s">
        <v>125</v>
      </c>
      <c r="E1" s="12" t="s">
        <v>126</v>
      </c>
      <c r="F1" s="12" t="s">
        <v>127</v>
      </c>
      <c r="G1" s="12" t="s">
        <v>128</v>
      </c>
      <c r="H1" s="12" t="s">
        <v>129</v>
      </c>
      <c r="I1" s="12" t="s">
        <v>130</v>
      </c>
      <c r="J1" s="12" t="s">
        <v>131</v>
      </c>
    </row>
    <row r="2" customFormat="false" ht="79.5" hidden="false" customHeight="true" outlineLevel="0" collapsed="false">
      <c r="A2" s="2" t="s">
        <v>132</v>
      </c>
      <c r="B2" s="2" t="n">
        <v>2016</v>
      </c>
      <c r="C2" s="2" t="s">
        <v>133</v>
      </c>
      <c r="D2" s="2" t="s">
        <v>134</v>
      </c>
      <c r="E2" s="2" t="s">
        <v>135</v>
      </c>
      <c r="F2" s="2" t="s">
        <v>136</v>
      </c>
      <c r="G2" s="2" t="s">
        <v>137</v>
      </c>
      <c r="H2" s="2" t="s">
        <v>138</v>
      </c>
      <c r="I2" s="2" t="s">
        <v>139</v>
      </c>
      <c r="J2" s="17" t="s">
        <v>140</v>
      </c>
    </row>
    <row r="3" customFormat="false" ht="79.5" hidden="false" customHeight="true" outlineLevel="0" collapsed="false">
      <c r="A3" s="3" t="s">
        <v>141</v>
      </c>
      <c r="B3" s="3" t="n">
        <v>2025</v>
      </c>
      <c r="C3" s="3" t="s">
        <v>142</v>
      </c>
      <c r="D3" s="3" t="s">
        <v>143</v>
      </c>
      <c r="E3" s="3" t="s">
        <v>144</v>
      </c>
      <c r="F3" s="3" t="s">
        <v>145</v>
      </c>
      <c r="G3" s="3" t="s">
        <v>146</v>
      </c>
      <c r="H3" s="3" t="s">
        <v>147</v>
      </c>
      <c r="I3" s="3" t="s">
        <v>148</v>
      </c>
      <c r="J3" s="18" t="s">
        <v>140</v>
      </c>
    </row>
    <row r="4" customFormat="false" ht="79.5" hidden="false" customHeight="true" outlineLevel="0" collapsed="false">
      <c r="A4" s="2" t="s">
        <v>149</v>
      </c>
      <c r="B4" s="2" t="n">
        <v>2024</v>
      </c>
      <c r="C4" s="2" t="s">
        <v>150</v>
      </c>
      <c r="D4" s="2" t="s">
        <v>151</v>
      </c>
      <c r="E4" s="2" t="s">
        <v>152</v>
      </c>
      <c r="F4" s="2" t="s">
        <v>153</v>
      </c>
      <c r="G4" s="2" t="s">
        <v>154</v>
      </c>
      <c r="H4" s="2" t="s">
        <v>155</v>
      </c>
      <c r="I4" s="2" t="s">
        <v>156</v>
      </c>
      <c r="J4" s="17" t="s">
        <v>140</v>
      </c>
    </row>
    <row r="5" customFormat="false" ht="79.5" hidden="false" customHeight="true" outlineLevel="0" collapsed="false">
      <c r="A5" s="3" t="s">
        <v>157</v>
      </c>
      <c r="B5" s="3" t="n">
        <v>2026</v>
      </c>
      <c r="C5" s="3" t="s">
        <v>158</v>
      </c>
      <c r="D5" s="3" t="s">
        <v>159</v>
      </c>
      <c r="E5" s="3" t="s">
        <v>160</v>
      </c>
      <c r="F5" s="3" t="s">
        <v>161</v>
      </c>
      <c r="G5" s="3" t="s">
        <v>162</v>
      </c>
      <c r="H5" s="3" t="s">
        <v>163</v>
      </c>
      <c r="I5" s="3" t="s">
        <v>164</v>
      </c>
      <c r="J5" s="18" t="s">
        <v>140</v>
      </c>
    </row>
    <row r="6" customFormat="false" ht="79.5" hidden="false" customHeight="true" outlineLevel="0" collapsed="false">
      <c r="A6" s="2" t="s">
        <v>165</v>
      </c>
      <c r="B6" s="2" t="n">
        <v>2022</v>
      </c>
      <c r="C6" s="2" t="s">
        <v>166</v>
      </c>
      <c r="D6" s="2" t="s">
        <v>167</v>
      </c>
      <c r="E6" s="2" t="s">
        <v>168</v>
      </c>
      <c r="F6" s="2" t="s">
        <v>169</v>
      </c>
      <c r="G6" s="2" t="s">
        <v>170</v>
      </c>
      <c r="H6" s="2" t="s">
        <v>171</v>
      </c>
      <c r="I6" s="2" t="s">
        <v>172</v>
      </c>
      <c r="J6" s="17" t="s">
        <v>140</v>
      </c>
    </row>
  </sheetData>
  <autoFilter ref="A1:J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2026-10-22T16:48:53Z</dcterms:created>
  <dc:creator>openpyxl</dc:creator>
  <dc:description/>
  <dc:language>en-US</dc:language>
  <cp:lastModifiedBy/>
  <dcterms:modified xsi:type="dcterms:W3CDTF">2026-10-22T17:01:04Z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